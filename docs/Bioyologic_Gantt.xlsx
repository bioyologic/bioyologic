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Claude\Bioyologic\docs\"/>
    </mc:Choice>
  </mc:AlternateContent>
  <xr:revisionPtr revIDLastSave="0" documentId="13_ncr:1_{8A3EC016-040B-4180-9195-735B270B6E90}" xr6:coauthVersionLast="47" xr6:coauthVersionMax="47" xr10:uidLastSave="{00000000-0000-0000-0000-000000000000}"/>
  <bookViews>
    <workbookView xWindow="780" yWindow="780" windowWidth="15300" windowHeight="7785" xr2:uid="{00000000-000D-0000-FFFF-FFFF00000000}"/>
  </bookViews>
  <sheets>
    <sheet name="Gantt" sheetId="1" r:id="rId1"/>
  </sheets>
  <definedNames>
    <definedName name="Print_Titles" localSheetId="0">Gantt!$5:$6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D37" i="1"/>
  <c r="D36" i="1"/>
  <c r="D35" i="1"/>
  <c r="D34" i="1"/>
  <c r="D33" i="1"/>
  <c r="D32" i="1"/>
  <c r="J31" i="1"/>
  <c r="F31" i="1"/>
  <c r="E31" i="1"/>
  <c r="D31" i="1" s="1"/>
  <c r="D30" i="1"/>
  <c r="D29" i="1"/>
  <c r="D28" i="1"/>
  <c r="D27" i="1"/>
  <c r="D26" i="1"/>
  <c r="D25" i="1"/>
  <c r="D24" i="1"/>
  <c r="D23" i="1"/>
  <c r="D22" i="1"/>
  <c r="D21" i="1"/>
  <c r="J20" i="1"/>
  <c r="F20" i="1"/>
  <c r="E20" i="1"/>
  <c r="D20" i="1" s="1"/>
  <c r="D19" i="1"/>
  <c r="D18" i="1"/>
  <c r="D17" i="1"/>
  <c r="D16" i="1"/>
  <c r="D15" i="1"/>
  <c r="D14" i="1"/>
  <c r="J13" i="1"/>
  <c r="F13" i="1"/>
  <c r="E13" i="1"/>
  <c r="D12" i="1"/>
  <c r="D11" i="1"/>
  <c r="D10" i="1"/>
  <c r="D9" i="1"/>
  <c r="D8" i="1"/>
  <c r="J7" i="1"/>
  <c r="F7" i="1"/>
  <c r="D7" i="1" s="1"/>
  <c r="E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F3" i="1"/>
  <c r="D13" i="1" l="1"/>
  <c r="I3" i="1"/>
  <c r="G39" i="1" l="1"/>
  <c r="G32" i="1"/>
  <c r="H32" i="1" s="1"/>
  <c r="G34" i="1"/>
  <c r="H34" i="1" s="1"/>
  <c r="G16" i="1"/>
  <c r="H16" i="1" l="1"/>
  <c r="H39" i="1"/>
  <c r="G38" i="1"/>
  <c r="H38" i="1" l="1"/>
  <c r="G35" i="1"/>
  <c r="G37" i="1"/>
  <c r="G36" i="1" l="1"/>
  <c r="H36" i="1" s="1"/>
  <c r="G30" i="1"/>
  <c r="H37" i="1"/>
  <c r="G29" i="1"/>
  <c r="G18" i="1"/>
  <c r="H18" i="1" s="1"/>
  <c r="G33" i="1"/>
  <c r="H33" i="1" s="1"/>
  <c r="H35" i="1"/>
  <c r="G28" i="1" l="1"/>
  <c r="H29" i="1"/>
  <c r="H30" i="1"/>
  <c r="G19" i="1"/>
  <c r="H19" i="1" l="1"/>
  <c r="H28" i="1"/>
  <c r="G27" i="1"/>
  <c r="G26" i="1" l="1"/>
  <c r="G23" i="1"/>
  <c r="H23" i="1" s="1"/>
  <c r="H27" i="1"/>
  <c r="G22" i="1"/>
  <c r="H22" i="1" s="1"/>
  <c r="G24" i="1"/>
  <c r="H24" i="1" s="1"/>
  <c r="G25" i="1" l="1"/>
  <c r="H26" i="1"/>
  <c r="H25" i="1" l="1"/>
  <c r="G21" i="1"/>
  <c r="H21" i="1" l="1"/>
  <c r="G17" i="1"/>
  <c r="H17" i="1" l="1"/>
  <c r="G15" i="1"/>
  <c r="H15" i="1" l="1"/>
  <c r="G14" i="1"/>
  <c r="H14" i="1" l="1"/>
  <c r="G12" i="1"/>
  <c r="H12" i="1" l="1"/>
  <c r="G11" i="1"/>
  <c r="G10" i="1" l="1"/>
  <c r="H11" i="1"/>
  <c r="H10" i="1" l="1"/>
  <c r="G9" i="1"/>
  <c r="G8" i="1" l="1"/>
  <c r="H8" i="1" s="1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Bioyologic</author>
  </authors>
  <commentList>
    <comment ref="C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Supuesto: lunes 3 de agosto de 2026. Cámbialo por la fecha real del inicio del semestre; las fechas de las semanas se recalculan solas.</t>
        </r>
      </text>
    </comment>
  </commentList>
</comments>
</file>

<file path=xl/sharedStrings.xml><?xml version="1.0" encoding="utf-8"?>
<sst xmlns="http://schemas.openxmlformats.org/spreadsheetml/2006/main" count="165" uniqueCount="115">
  <si>
    <t>Bioyologic · Diagrama de Gantt del proyecto (semanas 1 a 16)</t>
  </si>
  <si>
    <t>Proyecto de diseño en bioingeniería · Laura Suárez, Juan Martínez, Samuel Núñez · Pontificia Universidad Javeriana</t>
  </si>
  <si>
    <t>Inicio de la semana 1:</t>
  </si>
  <si>
    <t>Semana actual:</t>
  </si>
  <si>
    <t>Fin del proyecto:</t>
  </si>
  <si>
    <t>ID</t>
  </si>
  <si>
    <t>Fase / tarea</t>
  </si>
  <si>
    <t>Predecesoras</t>
  </si>
  <si>
    <t>Duración (días)</t>
  </si>
  <si>
    <t>Inicio</t>
  </si>
  <si>
    <t>Fin</t>
  </si>
  <si>
    <t>Holgura (días)</t>
  </si>
  <si>
    <t>Ruta crítica</t>
  </si>
  <si>
    <t>Estado</t>
  </si>
  <si>
    <t>Avance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</si>
  <si>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</si>
  <si>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</si>
  <si>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</si>
  <si>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</si>
  <si>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</si>
  <si>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</si>
  <si>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</si>
  <si>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</si>
  <si>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</si>
  <si>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</si>
  <si>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</si>
  <si>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</si>
  <si>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</si>
  <si>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</si>
  <si>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</si>
  <si>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</si>
  <si>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1</t>
  </si>
  <si>
    <t>REVISIÓN BIBLIOGRÁFICA</t>
  </si>
  <si>
    <t>1.1</t>
  </si>
  <si>
    <t>Pregunta de investigación, palabras clave y ecuación de búsqueda</t>
  </si>
  <si>
    <t>—</t>
  </si>
  <si>
    <t>Hecho</t>
  </si>
  <si>
    <t>1.2</t>
  </si>
  <si>
    <t>Búsqueda en 6 bases de datos (Scopus, IEEE Xplore, Web of Science, ScienceDirect, Google Scholar, Engineering Database) y registro en Excel</t>
  </si>
  <si>
    <t>1.3</t>
  </si>
  <si>
    <t>Eliminar duplicados en el Excel (hoja «Base sin duplicados»)</t>
  </si>
  <si>
    <t>1.4</t>
  </si>
  <si>
    <t>Leer títulos y resúmenes y aplicar criterios de inclusión y exclusión (PRISMA)</t>
  </si>
  <si>
    <t>1.5</t>
  </si>
  <si>
    <t>Seleccionar artículos (31) y leerlos a texto completo</t>
  </si>
  <si>
    <t>2</t>
  </si>
  <si>
    <t>CONCEPCIÓN Y DISEÑO</t>
  </si>
  <si>
    <t>2.1</t>
  </si>
  <si>
    <t>Población, actores, contexto y problema</t>
  </si>
  <si>
    <t>2.2</t>
  </si>
  <si>
    <t>Soluciones existentes y alternativa elegida (cámara + YOLO + transfer learning)</t>
  </si>
  <si>
    <t>2.3</t>
  </si>
  <si>
    <t>Hito: Presentación 1 (Parcial 1)</t>
  </si>
  <si>
    <t>2.4</t>
  </si>
  <si>
    <t>Arquitectura del sistema y diseño de las pantallas de la app</t>
  </si>
  <si>
    <t>2.5</t>
  </si>
  <si>
    <t>Need statement, Must have, Nice to have y matriz de riesgo</t>
  </si>
  <si>
    <t>2.6</t>
  </si>
  <si>
    <t>Diseño CAD del soporte para el celular (equipo)</t>
  </si>
  <si>
    <t>En curso</t>
  </si>
  <si>
    <t>3</t>
  </si>
  <si>
    <t>PROTOTIPADO Y CONSTRUCCIÓN</t>
  </si>
  <si>
    <t>3.1</t>
  </si>
  <si>
    <t>Búsqueda de datasets públicos sin registro (Makrai 2023 y clínico de Zenodo)</t>
  </si>
  <si>
    <t>3.2</t>
  </si>
  <si>
    <t>Backend de análisis: detección por teselas, segmentación L*a*b*/Otsu, morfología, conteo y UFC/mL</t>
  </si>
  <si>
    <t>3.3</t>
  </si>
  <si>
    <t>Servidor FastAPI, base de datos SQLite e informe PDF</t>
  </si>
  <si>
    <t>3.4</t>
  </si>
  <si>
    <t>App Flutter (Android y web): cámara con círculo guía, resultados, proyectos, biblioteca</t>
  </si>
  <si>
    <t>3.5</t>
  </si>
  <si>
    <t>Entrenamiento del detector YOLO11s en Google Colab (1.319 placas)</t>
  </si>
  <si>
    <t>3.6</t>
  </si>
  <si>
    <t>Entrenamiento del clasificador de 37 especies en Google Colab</t>
  </si>
  <si>
    <t>3.7</t>
  </si>
  <si>
    <t>Integración de los modelos reales en servidor, app y PDF; prueba en emulador Android</t>
  </si>
  <si>
    <t>3.2, 3.3, 3.4, 3.6</t>
  </si>
  <si>
    <t>3.8</t>
  </si>
  <si>
    <t>Software libre: licencia AGPL-3.0, GitHub, modelos ONNX y Docker</t>
  </si>
  <si>
    <t>3.9</t>
  </si>
  <si>
    <t>Servidor en Oracle Cloud con HTTPS (bioyologic.duckdns.org), Fráncfort</t>
  </si>
  <si>
    <t>3.10</t>
  </si>
  <si>
    <t>Impresión 3D del soporte para el celular</t>
  </si>
  <si>
    <t>Pendiente</t>
  </si>
  <si>
    <t>4</t>
  </si>
  <si>
    <t>AJUSTES, PRUEBAS Y VALIDACIÓN</t>
  </si>
  <si>
    <t>4.1</t>
  </si>
  <si>
    <t>Pruebas automáticas: 19 del servidor y 4 de la app</t>
  </si>
  <si>
    <t>4.2</t>
  </si>
  <si>
    <t>Evaluación en datos de prueba: error de conteo 2,6 %, especie 96,4 %</t>
  </si>
  <si>
    <t>4.3</t>
  </si>
  <si>
    <t>Documento explicativo del sistema con figuras</t>
  </si>
  <si>
    <t>4.4</t>
  </si>
  <si>
    <t>Hito: Parcial 2 (presentación y resumen ejecutivo)</t>
  </si>
  <si>
    <t>2.5, 4.2</t>
  </si>
  <si>
    <t>4.5</t>
  </si>
  <si>
    <t>Validación externa con el dataset AGAR</t>
  </si>
  <si>
    <t>4.6</t>
  </si>
  <si>
    <t>Validación con usuarios: microbiólogos y laboratorio de la universidad</t>
  </si>
  <si>
    <t>3.9, 3.10, 4.5</t>
  </si>
  <si>
    <t>4.7</t>
  </si>
  <si>
    <t>Ajustes finales según la validación</t>
  </si>
  <si>
    <t>4.4, 4.6</t>
  </si>
  <si>
    <t>4.8</t>
  </si>
  <si>
    <t>Hito: Entrega final</t>
  </si>
  <si>
    <t>Leyenda</t>
  </si>
  <si>
    <t>Fase (resumen de sus tareas)</t>
  </si>
  <si>
    <t>Tarea de la ruta crítica (holgura 0: si se retrasa, se retrasa la entrega final)</t>
  </si>
  <si>
    <t>Tarea con holgura, hecha o en curso</t>
  </si>
  <si>
    <t>Tarea con holgura, pendiente</t>
  </si>
  <si>
    <t>Semana actual (encabezado)</t>
  </si>
  <si>
    <t>Cómo se calcula la ruta crítica (CPM): Holgura = mínimo de (Inicio + Holgura) de las tareas sucesoras − Fin − 1 día; la última tarea se mide contra el fin del proyecto. Holgura 0 = ruta crítica.</t>
  </si>
  <si>
    <t>Celdas en azul = datos editables (inicio, fin, estado, avance). Cambia una fecha y la duración, la holgura, la ruta crítica y las barras se recalculan.</t>
  </si>
  <si>
    <t>Fechas de las fases 1 y 2: aproximadas a partir del Gantt de la Presentación 1. Fase 3 y tareas 4.1 a 4.3: fechas reales del trabajo (5 al 13 de octubre de 2026). Tareas pendientes: planeadas.</t>
  </si>
  <si>
    <t>Ruta crítica principal: 1.1 → 1.2 → 1.3 → 1.4 → 1.5 → 2.1 → 2.2 → 2.4 → 3.1 → 3.5 → 3.6 → 3.7 → 3.8 → 3.9 → 4.6 → 4.7 → 4.8. Ramas también críticas (holgura 0): 2.4 → 3.4 → 3.7 (app), 2.4 → 2.6 → 3.10 → 4.6 (soporte CAD) y 3.7 → 4.5 → 4.6 (validación con AGAR).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</si>
</sst>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dd\-mmm"/>
  </numFmts>
  <fonts count="14" x14ac:knownFonts="1">
    <font>
      <sz val="11"/>
      <color theme="1"/>
      <name val="Calibri"/>
      <family val="2"/>
      <scheme val="minor"/>
    </font>
    <font>
      <b/>
      <sz val="16"/>
      <color rgb="FF1F1A3D"/>
      <name val="Arial"/>
    </font>
    <font>
      <sz val="10"/>
      <color rgb="FF4B4566"/>
      <name val="Arial"/>
    </font>
    <font>
      <b/>
      <sz val="10"/>
      <color rgb="FF0000FF"/>
      <name val="Arial"/>
    </font>
    <font>
      <b/>
      <sz val="10"/>
      <name val="Arial"/>
    </font>
    <font>
      <b/>
      <sz val="10"/>
      <color rgb="FF4B4566"/>
      <name val="Arial"/>
    </font>
    <font>
      <b/>
      <sz val="10"/>
      <color rgb="FFF7F4FB"/>
      <name val="Arial"/>
    </font>
    <font>
      <b/>
      <sz val="8"/>
      <color rgb="FFF7F4FB"/>
      <name val="Arial"/>
    </font>
    <font>
      <b/>
      <sz val="10"/>
      <color rgb="FF1F1A3D"/>
      <name val="Arial"/>
    </font>
    <font>
      <sz val="10"/>
      <color rgb="FF1F1A3D"/>
      <name val="Arial"/>
    </font>
    <font>
      <sz val="10"/>
      <color rgb="FF0000FF"/>
      <name val="Arial"/>
    </font>
    <font>
      <b/>
      <sz val="11"/>
      <color rgb="FF1F1A3D"/>
      <name val="Arial"/>
    </font>
    <font>
      <sz val="10"/>
      <name val="Arial"/>
    </font>
    <font>
      <sz val="9"/>
      <color rgb="FF4B45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1A3D"/>
      </patternFill>
    </fill>
    <fill>
      <patternFill patternType="solid">
        <fgColor rgb="FFE6E0F3"/>
      </patternFill>
    </fill>
    <fill>
      <patternFill patternType="solid">
        <fgColor rgb="FF4B4566"/>
      </patternFill>
    </fill>
    <fill>
      <patternFill patternType="solid">
        <fgColor rgb="FFC0392B"/>
      </patternFill>
    </fill>
    <fill>
      <patternFill patternType="solid">
        <fgColor rgb="FF1F7A8C"/>
      </patternFill>
    </fill>
    <fill>
      <patternFill patternType="solid">
        <fgColor rgb="FF9DB8C2"/>
      </patternFill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D9D1EC"/>
      </left>
      <right style="thin">
        <color rgb="FFD9D1EC"/>
      </right>
      <top style="thin">
        <color rgb="FFD9D1EC"/>
      </top>
      <bottom style="thin">
        <color rgb="FFD9D1E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165" fontId="3" fillId="2" borderId="0" xfId="0" applyNumberFormat="1" applyFont="1" applyFill="1"/>
    <xf numFmtId="0" fontId="4" fillId="0" borderId="0" xfId="0" applyFont="1"/>
    <xf numFmtId="165" fontId="4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165" fontId="8" fillId="4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 indent="1"/>
    </xf>
    <xf numFmtId="165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5" borderId="0" xfId="0" applyFill="1"/>
    <xf numFmtId="0" fontId="12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7">
    <dxf>
      <font>
        <b/>
        <color rgb="FFC0392B"/>
        <name val="Arial"/>
      </font>
    </dxf>
    <dxf>
      <fill>
        <patternFill patternType="solid">
          <fgColor rgb="FFE67E22"/>
          <bgColor rgb="FFE67E22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1F7A8C"/>
          <bgColor rgb="FF1F7A8C"/>
        </patternFill>
      </fill>
    </dxf>
    <dxf>
      <fill>
        <patternFill patternType="solid">
          <fgColor rgb="FF9DB8C2"/>
          <bgColor rgb="FF9DB8C2"/>
        </patternFill>
      </fill>
    </dxf>
    <dxf>
      <fill>
        <patternFill patternType="solid">
          <fgColor rgb="FFC0392B"/>
          <bgColor rgb="FFC0392B"/>
        </patternFill>
      </fill>
    </dxf>
    <dxf>
      <fill>
        <patternFill patternType="solid">
          <fgColor rgb="FF4B4566"/>
          <bgColor rgb="FF4B45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1"/>
  <sheetViews>
    <sheetView tabSelected="1" zoomScale="9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" width="62" customWidth="1"/>
    <col min="3" max="3" width="13" customWidth="1"/>
    <col min="4" max="4" width="10" customWidth="1"/>
    <col min="5" max="6" width="11" customWidth="1"/>
    <col min="7" max="7" width="10" customWidth="1"/>
    <col min="8" max="8" width="9" customWidth="1"/>
    <col min="9" max="9" width="11" customWidth="1"/>
    <col min="10" max="10" width="8" customWidth="1"/>
    <col min="11" max="26" width="6.42578125" customWidth="1"/>
  </cols>
  <sheetData>
    <row r="1" spans="1:26" ht="20.25" x14ac:dyDescent="0.3">
      <c r="A1" s="1" t="s">
        <v>0</v>
      </c>
    </row>
    <row r="2" spans="1:26" x14ac:dyDescent="0.25">
      <c r="A2" s="2" t="s">
        <v>1</v>
      </c>
    </row>
    <row r="3" spans="1:26" x14ac:dyDescent="0.25">
      <c r="A3" s="3" t="s">
        <v>2</v>
      </c>
      <c r="C3" s="4">
        <v>46237</v>
      </c>
      <c r="D3" s="3" t="s">
        <v>3</v>
      </c>
      <c r="F3" s="5">
        <f ca="1">IF(TODAY()&lt;$C$3,0,INT((TODAY()-$C$3)/7)+1)</f>
        <v>11</v>
      </c>
      <c r="G3" s="3" t="s">
        <v>4</v>
      </c>
      <c r="I3" s="6">
        <f>MAX(F7:F39)</f>
        <v>46348</v>
      </c>
    </row>
    <row r="5" spans="1:26" ht="21.95" customHeight="1" x14ac:dyDescent="0.25">
      <c r="A5" s="26" t="s">
        <v>5</v>
      </c>
      <c r="B5" s="26" t="s">
        <v>6</v>
      </c>
      <c r="C5" s="26" t="s">
        <v>7</v>
      </c>
      <c r="D5" s="26" t="s">
        <v>8</v>
      </c>
      <c r="E5" s="26" t="s">
        <v>9</v>
      </c>
      <c r="F5" s="26" t="s">
        <v>10</v>
      </c>
      <c r="G5" s="26" t="s">
        <v>11</v>
      </c>
      <c r="H5" s="26" t="s">
        <v>12</v>
      </c>
      <c r="I5" s="26" t="s">
        <v>13</v>
      </c>
      <c r="J5" s="26" t="s">
        <v>14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7" t="s">
        <v>20</v>
      </c>
      <c r="Q5" s="7" t="s">
        <v>21</v>
      </c>
      <c r="R5" s="7" t="s">
        <v>22</v>
      </c>
      <c r="S5" s="7" t="s">
        <v>23</v>
      </c>
      <c r="T5" s="7" t="s">
        <v>24</v>
      </c>
      <c r="U5" s="7" t="s">
        <v>25</v>
      </c>
      <c r="V5" s="7" t="s">
        <v>26</v>
      </c>
      <c r="W5" s="7" t="s">
        <v>27</v>
      </c>
      <c r="X5" s="7" t="s">
        <v>28</v>
      </c>
      <c r="Y5" s="7" t="s">
        <v>29</v>
      </c>
      <c r="Z5" s="7" t="s">
        <v>30</v>
      </c>
    </row>
    <row r="6" spans="1:26" ht="18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8">
        <f>$C$3+7*0</f>
        <v>46237</v>
      </c>
      <c r="L6" s="8">
        <f>$C$3+7*1</f>
        <v>46244</v>
      </c>
      <c r="M6" s="8">
        <f>$C$3+7*2</f>
        <v>46251</v>
      </c>
      <c r="N6" s="8">
        <f>$C$3+7*3</f>
        <v>46258</v>
      </c>
      <c r="O6" s="8">
        <f>$C$3+7*4</f>
        <v>46265</v>
      </c>
      <c r="P6" s="8">
        <f>$C$3+7*5</f>
        <v>46272</v>
      </c>
      <c r="Q6" s="8">
        <f>$C$3+7*6</f>
        <v>46279</v>
      </c>
      <c r="R6" s="8">
        <f>$C$3+7*7</f>
        <v>46286</v>
      </c>
      <c r="S6" s="8">
        <f>$C$3+7*8</f>
        <v>46293</v>
      </c>
      <c r="T6" s="8">
        <f>$C$3+7*9</f>
        <v>46300</v>
      </c>
      <c r="U6" s="8">
        <f>$C$3+7*10</f>
        <v>46307</v>
      </c>
      <c r="V6" s="8">
        <f>$C$3+7*11</f>
        <v>46314</v>
      </c>
      <c r="W6" s="8">
        <f>$C$3+7*12</f>
        <v>46321</v>
      </c>
      <c r="X6" s="8">
        <f>$C$3+7*13</f>
        <v>46328</v>
      </c>
      <c r="Y6" s="8">
        <f>$C$3+7*14</f>
        <v>46335</v>
      </c>
      <c r="Z6" s="8">
        <f>$C$3+7*15</f>
        <v>46342</v>
      </c>
    </row>
    <row r="7" spans="1:26" ht="30" customHeight="1" x14ac:dyDescent="0.25">
      <c r="A7" s="9" t="s">
        <v>31</v>
      </c>
      <c r="B7" s="10" t="s">
        <v>32</v>
      </c>
      <c r="C7" s="9"/>
      <c r="D7" s="9">
        <f t="shared" ref="D7:D39" si="0">F7-E7+1</f>
        <v>42</v>
      </c>
      <c r="E7" s="11">
        <f>MIN(E8:E12)</f>
        <v>46237</v>
      </c>
      <c r="F7" s="11">
        <f>MAX(F8:F12)</f>
        <v>46278</v>
      </c>
      <c r="G7" s="9"/>
      <c r="H7" s="9"/>
      <c r="I7" s="9"/>
      <c r="J7" s="12">
        <f>AVERAGE(J8:J12)</f>
        <v>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 x14ac:dyDescent="0.25">
      <c r="A8" s="14" t="s">
        <v>33</v>
      </c>
      <c r="B8" s="15" t="s">
        <v>34</v>
      </c>
      <c r="C8" s="14" t="s">
        <v>35</v>
      </c>
      <c r="D8" s="14">
        <f t="shared" si="0"/>
        <v>7</v>
      </c>
      <c r="E8" s="16">
        <v>46237</v>
      </c>
      <c r="F8" s="16">
        <v>46243</v>
      </c>
      <c r="G8" s="14">
        <f>MIN(E9+G9)-F8-1</f>
        <v>7</v>
      </c>
      <c r="H8" s="14" t="str">
        <f>IF(G8&lt;=0,"Sí","No")</f>
        <v>No</v>
      </c>
      <c r="I8" s="17" t="s">
        <v>36</v>
      </c>
      <c r="J8" s="18">
        <v>1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4.1" customHeight="1" x14ac:dyDescent="0.25">
      <c r="A9" s="14" t="s">
        <v>37</v>
      </c>
      <c r="B9" s="15" t="s">
        <v>38</v>
      </c>
      <c r="C9" s="14" t="s">
        <v>33</v>
      </c>
      <c r="D9" s="14">
        <f t="shared" si="0"/>
        <v>14</v>
      </c>
      <c r="E9" s="16">
        <v>46244</v>
      </c>
      <c r="F9" s="16">
        <v>46257</v>
      </c>
      <c r="G9" s="14">
        <f>MIN(E10+G10)-F9-1</f>
        <v>7</v>
      </c>
      <c r="H9" s="14" t="str">
        <f>IF(G9&lt;=0,"Sí","No")</f>
        <v>No</v>
      </c>
      <c r="I9" s="17" t="s">
        <v>36</v>
      </c>
      <c r="J9" s="18">
        <v>1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 x14ac:dyDescent="0.25">
      <c r="A10" s="14" t="s">
        <v>39</v>
      </c>
      <c r="B10" s="15" t="s">
        <v>40</v>
      </c>
      <c r="C10" s="14" t="s">
        <v>37</v>
      </c>
      <c r="D10" s="14">
        <f t="shared" si="0"/>
        <v>7</v>
      </c>
      <c r="E10" s="16">
        <v>46258</v>
      </c>
      <c r="F10" s="16">
        <v>46264</v>
      </c>
      <c r="G10" s="14">
        <f>MIN(E11+G11)-F10-1</f>
        <v>7</v>
      </c>
      <c r="H10" s="14" t="str">
        <f>IF(G10&lt;=0,"Sí","No")</f>
        <v>No</v>
      </c>
      <c r="I10" s="17" t="s">
        <v>36</v>
      </c>
      <c r="J10" s="18">
        <v>1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4.1" customHeight="1" x14ac:dyDescent="0.25">
      <c r="A11" s="14" t="s">
        <v>41</v>
      </c>
      <c r="B11" s="15" t="s">
        <v>42</v>
      </c>
      <c r="C11" s="14" t="s">
        <v>39</v>
      </c>
      <c r="D11" s="14">
        <f t="shared" si="0"/>
        <v>7</v>
      </c>
      <c r="E11" s="16">
        <v>46265</v>
      </c>
      <c r="F11" s="16">
        <v>46271</v>
      </c>
      <c r="G11" s="14">
        <f>MIN(E12+G12)-F11-1</f>
        <v>7</v>
      </c>
      <c r="H11" s="14" t="str">
        <f>IF(G11&lt;=0,"Sí","No")</f>
        <v>No</v>
      </c>
      <c r="I11" s="17" t="s">
        <v>36</v>
      </c>
      <c r="J11" s="18">
        <v>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 x14ac:dyDescent="0.25">
      <c r="A12" s="14" t="s">
        <v>43</v>
      </c>
      <c r="B12" s="15" t="s">
        <v>44</v>
      </c>
      <c r="C12" s="14" t="s">
        <v>41</v>
      </c>
      <c r="D12" s="14">
        <f t="shared" si="0"/>
        <v>7</v>
      </c>
      <c r="E12" s="16">
        <v>46272</v>
      </c>
      <c r="F12" s="16">
        <v>46278</v>
      </c>
      <c r="G12" s="14">
        <f>MIN(E14+G14)-F12-1</f>
        <v>7</v>
      </c>
      <c r="H12" s="14" t="str">
        <f>IF(G12&lt;=0,"Sí","No")</f>
        <v>No</v>
      </c>
      <c r="I12" s="17" t="s">
        <v>36</v>
      </c>
      <c r="J12" s="18">
        <v>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 x14ac:dyDescent="0.25">
      <c r="A13" s="9" t="s">
        <v>45</v>
      </c>
      <c r="B13" s="10" t="s">
        <v>46</v>
      </c>
      <c r="C13" s="9"/>
      <c r="D13" s="9">
        <f t="shared" si="0"/>
        <v>42</v>
      </c>
      <c r="E13" s="11">
        <f>MIN(E14:E19)</f>
        <v>46279</v>
      </c>
      <c r="F13" s="11">
        <f>MAX(F14:F19)</f>
        <v>46320</v>
      </c>
      <c r="G13" s="9"/>
      <c r="H13" s="9"/>
      <c r="I13" s="9"/>
      <c r="J13" s="12">
        <f>AVERAGE(J14:J19)</f>
        <v>0.8833333333333333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 x14ac:dyDescent="0.25">
      <c r="A14" s="14" t="s">
        <v>47</v>
      </c>
      <c r="B14" s="15" t="s">
        <v>48</v>
      </c>
      <c r="C14" s="14" t="s">
        <v>43</v>
      </c>
      <c r="D14" s="14">
        <f t="shared" si="0"/>
        <v>7</v>
      </c>
      <c r="E14" s="16">
        <v>46279</v>
      </c>
      <c r="F14" s="16">
        <v>46285</v>
      </c>
      <c r="G14" s="14">
        <f>MIN(E15+G15)-F14-1</f>
        <v>7</v>
      </c>
      <c r="H14" s="14" t="str">
        <f t="shared" ref="H14:H19" si="1">IF(G14&lt;=0,"Sí","No")</f>
        <v>No</v>
      </c>
      <c r="I14" s="17" t="s">
        <v>36</v>
      </c>
      <c r="J14" s="18">
        <v>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44.1" customHeight="1" x14ac:dyDescent="0.25">
      <c r="A15" s="14" t="s">
        <v>49</v>
      </c>
      <c r="B15" s="15" t="s">
        <v>50</v>
      </c>
      <c r="C15" s="14" t="s">
        <v>47</v>
      </c>
      <c r="D15" s="14">
        <f t="shared" si="0"/>
        <v>7</v>
      </c>
      <c r="E15" s="16">
        <v>46286</v>
      </c>
      <c r="F15" s="16">
        <v>46292</v>
      </c>
      <c r="G15" s="14">
        <f>MIN(E16+G16,E17+G17,E18+G18)-F15-1</f>
        <v>7</v>
      </c>
      <c r="H15" s="14" t="str">
        <f t="shared" si="1"/>
        <v>No</v>
      </c>
      <c r="I15" s="17" t="s">
        <v>36</v>
      </c>
      <c r="J15" s="18">
        <v>1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 x14ac:dyDescent="0.25">
      <c r="A16" s="14" t="s">
        <v>51</v>
      </c>
      <c r="B16" s="15" t="s">
        <v>52</v>
      </c>
      <c r="C16" s="14" t="s">
        <v>49</v>
      </c>
      <c r="D16" s="14">
        <f t="shared" si="0"/>
        <v>5</v>
      </c>
      <c r="E16" s="16">
        <v>46293</v>
      </c>
      <c r="F16" s="16">
        <v>46297</v>
      </c>
      <c r="G16" s="14">
        <f>$I$3-F16</f>
        <v>51</v>
      </c>
      <c r="H16" s="14" t="str">
        <f t="shared" si="1"/>
        <v>No</v>
      </c>
      <c r="I16" s="17" t="s">
        <v>36</v>
      </c>
      <c r="J16" s="18">
        <v>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 x14ac:dyDescent="0.25">
      <c r="A17" s="14" t="s">
        <v>53</v>
      </c>
      <c r="B17" s="15" t="s">
        <v>54</v>
      </c>
      <c r="C17" s="14" t="s">
        <v>49</v>
      </c>
      <c r="D17" s="14">
        <f t="shared" si="0"/>
        <v>7</v>
      </c>
      <c r="E17" s="16">
        <v>46293</v>
      </c>
      <c r="F17" s="16">
        <v>46299</v>
      </c>
      <c r="G17" s="14">
        <f>MIN(E19+G19,E21+G21,E22+G22,E23+G23,E24+G24)-F17-1</f>
        <v>7</v>
      </c>
      <c r="H17" s="14" t="str">
        <f t="shared" si="1"/>
        <v>No</v>
      </c>
      <c r="I17" s="17" t="s">
        <v>36</v>
      </c>
      <c r="J17" s="18">
        <v>1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 x14ac:dyDescent="0.25">
      <c r="A18" s="14" t="s">
        <v>55</v>
      </c>
      <c r="B18" s="15" t="s">
        <v>56</v>
      </c>
      <c r="C18" s="14" t="s">
        <v>49</v>
      </c>
      <c r="D18" s="14">
        <f t="shared" si="0"/>
        <v>1</v>
      </c>
      <c r="E18" s="16">
        <v>46307</v>
      </c>
      <c r="F18" s="16">
        <v>46307</v>
      </c>
      <c r="G18" s="14">
        <f>MIN(E35+G35)-F18-1</f>
        <v>22</v>
      </c>
      <c r="H18" s="14" t="str">
        <f t="shared" si="1"/>
        <v>No</v>
      </c>
      <c r="I18" s="17" t="s">
        <v>36</v>
      </c>
      <c r="J18" s="18">
        <v>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 x14ac:dyDescent="0.25">
      <c r="A19" s="14" t="s">
        <v>57</v>
      </c>
      <c r="B19" s="15" t="s">
        <v>58</v>
      </c>
      <c r="C19" s="14" t="s">
        <v>53</v>
      </c>
      <c r="D19" s="14">
        <f t="shared" si="0"/>
        <v>14</v>
      </c>
      <c r="E19" s="16">
        <v>46307</v>
      </c>
      <c r="F19" s="16">
        <v>46320</v>
      </c>
      <c r="G19" s="14">
        <f>MIN(E30+G30)-F19-1</f>
        <v>0</v>
      </c>
      <c r="H19" s="14" t="str">
        <f t="shared" si="1"/>
        <v>Sí</v>
      </c>
      <c r="I19" s="17" t="s">
        <v>59</v>
      </c>
      <c r="J19" s="18">
        <v>0.3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 x14ac:dyDescent="0.25">
      <c r="A20" s="9" t="s">
        <v>60</v>
      </c>
      <c r="B20" s="10" t="s">
        <v>61</v>
      </c>
      <c r="C20" s="9"/>
      <c r="D20" s="9">
        <f t="shared" si="0"/>
        <v>28</v>
      </c>
      <c r="E20" s="11">
        <f>MIN(E21:E30)</f>
        <v>46300</v>
      </c>
      <c r="F20" s="11">
        <f>MAX(F21:F30)</f>
        <v>46327</v>
      </c>
      <c r="G20" s="9"/>
      <c r="H20" s="9"/>
      <c r="I20" s="9"/>
      <c r="J20" s="12">
        <f>AVERAGE(J21:J30)</f>
        <v>0.9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44.1" customHeight="1" x14ac:dyDescent="0.25">
      <c r="A21" s="14" t="s">
        <v>62</v>
      </c>
      <c r="B21" s="15" t="s">
        <v>63</v>
      </c>
      <c r="C21" s="14" t="s">
        <v>53</v>
      </c>
      <c r="D21" s="14">
        <f t="shared" si="0"/>
        <v>3</v>
      </c>
      <c r="E21" s="16">
        <v>46300</v>
      </c>
      <c r="F21" s="16">
        <v>46302</v>
      </c>
      <c r="G21" s="14">
        <f>MIN(E25+G25)-F21-1</f>
        <v>14</v>
      </c>
      <c r="H21" s="14" t="str">
        <f t="shared" ref="H21:H30" si="2">IF(G21&lt;=0,"Sí","No")</f>
        <v>No</v>
      </c>
      <c r="I21" s="17" t="s">
        <v>36</v>
      </c>
      <c r="J21" s="18">
        <v>1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44.1" customHeight="1" x14ac:dyDescent="0.25">
      <c r="A22" s="14" t="s">
        <v>64</v>
      </c>
      <c r="B22" s="15" t="s">
        <v>65</v>
      </c>
      <c r="C22" s="14" t="s">
        <v>53</v>
      </c>
      <c r="D22" s="14">
        <f t="shared" si="0"/>
        <v>5</v>
      </c>
      <c r="E22" s="16">
        <v>46300</v>
      </c>
      <c r="F22" s="16">
        <v>46304</v>
      </c>
      <c r="G22" s="14">
        <f>MIN(E27+G27,E32+G32,E34+G34)-F22-1</f>
        <v>15</v>
      </c>
      <c r="H22" s="14" t="str">
        <f t="shared" si="2"/>
        <v>No</v>
      </c>
      <c r="I22" s="17" t="s">
        <v>36</v>
      </c>
      <c r="J22" s="18">
        <v>1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 x14ac:dyDescent="0.25">
      <c r="A23" s="14" t="s">
        <v>66</v>
      </c>
      <c r="B23" s="15" t="s">
        <v>67</v>
      </c>
      <c r="C23" s="14" t="s">
        <v>53</v>
      </c>
      <c r="D23" s="14">
        <f t="shared" si="0"/>
        <v>5</v>
      </c>
      <c r="E23" s="16">
        <v>46300</v>
      </c>
      <c r="F23" s="16">
        <v>46304</v>
      </c>
      <c r="G23" s="14">
        <f>MIN(E27+G27)-F23-1</f>
        <v>15</v>
      </c>
      <c r="H23" s="14" t="str">
        <f t="shared" si="2"/>
        <v>No</v>
      </c>
      <c r="I23" s="17" t="s">
        <v>36</v>
      </c>
      <c r="J23" s="18">
        <v>1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44.1" customHeight="1" x14ac:dyDescent="0.25">
      <c r="A24" s="14" t="s">
        <v>68</v>
      </c>
      <c r="B24" s="15" t="s">
        <v>69</v>
      </c>
      <c r="C24" s="14" t="s">
        <v>53</v>
      </c>
      <c r="D24" s="14">
        <f t="shared" si="0"/>
        <v>6</v>
      </c>
      <c r="E24" s="16">
        <v>46300</v>
      </c>
      <c r="F24" s="16">
        <v>46305</v>
      </c>
      <c r="G24" s="14">
        <f>MIN(E27+G27)-F24-1</f>
        <v>14</v>
      </c>
      <c r="H24" s="14" t="str">
        <f t="shared" si="2"/>
        <v>No</v>
      </c>
      <c r="I24" s="17" t="s">
        <v>36</v>
      </c>
      <c r="J24" s="18">
        <v>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 x14ac:dyDescent="0.25">
      <c r="A25" s="14" t="s">
        <v>70</v>
      </c>
      <c r="B25" s="15" t="s">
        <v>71</v>
      </c>
      <c r="C25" s="14" t="s">
        <v>62</v>
      </c>
      <c r="D25" s="14">
        <f t="shared" si="0"/>
        <v>2</v>
      </c>
      <c r="E25" s="16">
        <v>46303</v>
      </c>
      <c r="F25" s="16">
        <v>46304</v>
      </c>
      <c r="G25" s="14">
        <f>MIN(E26+G26,E33+G33)-F25-1</f>
        <v>14</v>
      </c>
      <c r="H25" s="14" t="str">
        <f t="shared" si="2"/>
        <v>No</v>
      </c>
      <c r="I25" s="17" t="s">
        <v>36</v>
      </c>
      <c r="J25" s="18">
        <v>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 x14ac:dyDescent="0.25">
      <c r="A26" s="14" t="s">
        <v>72</v>
      </c>
      <c r="B26" s="15" t="s">
        <v>73</v>
      </c>
      <c r="C26" s="14" t="s">
        <v>70</v>
      </c>
      <c r="D26" s="14">
        <f t="shared" si="0"/>
        <v>1</v>
      </c>
      <c r="E26" s="16">
        <v>46305</v>
      </c>
      <c r="F26" s="16">
        <v>46305</v>
      </c>
      <c r="G26" s="14">
        <f>MIN(E27+G27)-F26-1</f>
        <v>14</v>
      </c>
      <c r="H26" s="14" t="str">
        <f t="shared" si="2"/>
        <v>No</v>
      </c>
      <c r="I26" s="17" t="s">
        <v>36</v>
      </c>
      <c r="J26" s="18">
        <v>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44.1" customHeight="1" x14ac:dyDescent="0.25">
      <c r="A27" s="14" t="s">
        <v>74</v>
      </c>
      <c r="B27" s="15" t="s">
        <v>75</v>
      </c>
      <c r="C27" s="14" t="s">
        <v>76</v>
      </c>
      <c r="D27" s="14">
        <f t="shared" si="0"/>
        <v>1</v>
      </c>
      <c r="E27" s="16">
        <v>46306</v>
      </c>
      <c r="F27" s="16">
        <v>46306</v>
      </c>
      <c r="G27" s="14">
        <f>MIN(E28+G28,E36+G36)-F27-1</f>
        <v>14</v>
      </c>
      <c r="H27" s="14" t="str">
        <f t="shared" si="2"/>
        <v>No</v>
      </c>
      <c r="I27" s="17" t="s">
        <v>36</v>
      </c>
      <c r="J27" s="18">
        <v>1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 x14ac:dyDescent="0.25">
      <c r="A28" s="14" t="s">
        <v>77</v>
      </c>
      <c r="B28" s="15" t="s">
        <v>78</v>
      </c>
      <c r="C28" s="14" t="s">
        <v>74</v>
      </c>
      <c r="D28" s="14">
        <f t="shared" si="0"/>
        <v>2</v>
      </c>
      <c r="E28" s="16">
        <v>46307</v>
      </c>
      <c r="F28" s="16">
        <v>46308</v>
      </c>
      <c r="G28" s="14">
        <f>MIN(E29+G29)-F28-1</f>
        <v>18</v>
      </c>
      <c r="H28" s="14" t="str">
        <f t="shared" si="2"/>
        <v>No</v>
      </c>
      <c r="I28" s="17" t="s">
        <v>36</v>
      </c>
      <c r="J28" s="18">
        <v>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 x14ac:dyDescent="0.25">
      <c r="A29" s="14" t="s">
        <v>79</v>
      </c>
      <c r="B29" s="15" t="s">
        <v>80</v>
      </c>
      <c r="C29" s="14" t="s">
        <v>77</v>
      </c>
      <c r="D29" s="14">
        <f t="shared" si="0"/>
        <v>1</v>
      </c>
      <c r="E29" s="16">
        <v>46309</v>
      </c>
      <c r="F29" s="16">
        <v>46309</v>
      </c>
      <c r="G29" s="14">
        <f>MIN(E37+G37)-F29-1</f>
        <v>18</v>
      </c>
      <c r="H29" s="14" t="str">
        <f t="shared" si="2"/>
        <v>No</v>
      </c>
      <c r="I29" s="17" t="s">
        <v>36</v>
      </c>
      <c r="J29" s="18"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 x14ac:dyDescent="0.25">
      <c r="A30" s="14" t="s">
        <v>81</v>
      </c>
      <c r="B30" s="15" t="s">
        <v>82</v>
      </c>
      <c r="C30" s="14" t="s">
        <v>57</v>
      </c>
      <c r="D30" s="14">
        <f t="shared" si="0"/>
        <v>7</v>
      </c>
      <c r="E30" s="16">
        <v>46321</v>
      </c>
      <c r="F30" s="16">
        <v>46327</v>
      </c>
      <c r="G30" s="14">
        <f>MIN(E37+G37)-F30-1</f>
        <v>0</v>
      </c>
      <c r="H30" s="14" t="str">
        <f t="shared" si="2"/>
        <v>Sí</v>
      </c>
      <c r="I30" s="17" t="s">
        <v>83</v>
      </c>
      <c r="J30" s="18"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 x14ac:dyDescent="0.25">
      <c r="A31" s="9" t="s">
        <v>84</v>
      </c>
      <c r="B31" s="10" t="s">
        <v>85</v>
      </c>
      <c r="C31" s="9"/>
      <c r="D31" s="9">
        <f t="shared" si="0"/>
        <v>44</v>
      </c>
      <c r="E31" s="11">
        <f>MIN(E32:E39)</f>
        <v>46305</v>
      </c>
      <c r="F31" s="11">
        <f>MAX(F32:F39)</f>
        <v>46348</v>
      </c>
      <c r="G31" s="9"/>
      <c r="H31" s="9"/>
      <c r="I31" s="9"/>
      <c r="J31" s="12">
        <f>AVERAGE(J32:J39)</f>
        <v>0.45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 x14ac:dyDescent="0.25">
      <c r="A32" s="14" t="s">
        <v>86</v>
      </c>
      <c r="B32" s="15" t="s">
        <v>87</v>
      </c>
      <c r="C32" s="14" t="s">
        <v>64</v>
      </c>
      <c r="D32" s="14">
        <f t="shared" si="0"/>
        <v>3</v>
      </c>
      <c r="E32" s="16">
        <v>46305</v>
      </c>
      <c r="F32" s="16">
        <v>46307</v>
      </c>
      <c r="G32" s="14">
        <f>$I$3-F32</f>
        <v>41</v>
      </c>
      <c r="H32" s="14" t="str">
        <f t="shared" ref="H32:H39" si="3">IF(G32&lt;=0,"Sí","No")</f>
        <v>No</v>
      </c>
      <c r="I32" s="17" t="s">
        <v>36</v>
      </c>
      <c r="J32" s="18">
        <v>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 x14ac:dyDescent="0.25">
      <c r="A33" s="14" t="s">
        <v>88</v>
      </c>
      <c r="B33" s="15" t="s">
        <v>89</v>
      </c>
      <c r="C33" s="14" t="s">
        <v>70</v>
      </c>
      <c r="D33" s="14">
        <f t="shared" si="0"/>
        <v>2</v>
      </c>
      <c r="E33" s="16">
        <v>46305</v>
      </c>
      <c r="F33" s="16">
        <v>46306</v>
      </c>
      <c r="G33" s="14">
        <f>MIN(E35+G35)-F33-1</f>
        <v>23</v>
      </c>
      <c r="H33" s="14" t="str">
        <f t="shared" si="3"/>
        <v>No</v>
      </c>
      <c r="I33" s="17" t="s">
        <v>36</v>
      </c>
      <c r="J33" s="18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 x14ac:dyDescent="0.25">
      <c r="A34" s="14" t="s">
        <v>90</v>
      </c>
      <c r="B34" s="15" t="s">
        <v>91</v>
      </c>
      <c r="C34" s="14" t="s">
        <v>64</v>
      </c>
      <c r="D34" s="14">
        <f t="shared" si="0"/>
        <v>3</v>
      </c>
      <c r="E34" s="16">
        <v>46305</v>
      </c>
      <c r="F34" s="16">
        <v>46307</v>
      </c>
      <c r="G34" s="14">
        <f>$I$3-F34</f>
        <v>41</v>
      </c>
      <c r="H34" s="14" t="str">
        <f t="shared" si="3"/>
        <v>No</v>
      </c>
      <c r="I34" s="17" t="s">
        <v>36</v>
      </c>
      <c r="J34" s="18"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 x14ac:dyDescent="0.25">
      <c r="A35" s="14" t="s">
        <v>92</v>
      </c>
      <c r="B35" s="15" t="s">
        <v>93</v>
      </c>
      <c r="C35" s="14" t="s">
        <v>94</v>
      </c>
      <c r="D35" s="14">
        <f t="shared" si="0"/>
        <v>5</v>
      </c>
      <c r="E35" s="16">
        <v>46307</v>
      </c>
      <c r="F35" s="16">
        <v>46311</v>
      </c>
      <c r="G35" s="14">
        <f>MIN(E38+G38)-F35-1</f>
        <v>23</v>
      </c>
      <c r="H35" s="14" t="str">
        <f t="shared" si="3"/>
        <v>No</v>
      </c>
      <c r="I35" s="17" t="s">
        <v>59</v>
      </c>
      <c r="J35" s="18">
        <v>0.6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 x14ac:dyDescent="0.25">
      <c r="A36" s="14" t="s">
        <v>95</v>
      </c>
      <c r="B36" s="15" t="s">
        <v>96</v>
      </c>
      <c r="C36" s="14" t="s">
        <v>74</v>
      </c>
      <c r="D36" s="14">
        <f t="shared" si="0"/>
        <v>7</v>
      </c>
      <c r="E36" s="16">
        <v>46321</v>
      </c>
      <c r="F36" s="16">
        <v>46327</v>
      </c>
      <c r="G36" s="14">
        <f>MIN(E37+G37)-F36-1</f>
        <v>0</v>
      </c>
      <c r="H36" s="14" t="str">
        <f t="shared" si="3"/>
        <v>Sí</v>
      </c>
      <c r="I36" s="17" t="s">
        <v>83</v>
      </c>
      <c r="J36" s="18">
        <v>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 x14ac:dyDescent="0.25">
      <c r="A37" s="14" t="s">
        <v>97</v>
      </c>
      <c r="B37" s="15" t="s">
        <v>98</v>
      </c>
      <c r="C37" s="14" t="s">
        <v>99</v>
      </c>
      <c r="D37" s="14">
        <f t="shared" si="0"/>
        <v>7</v>
      </c>
      <c r="E37" s="16">
        <v>46328</v>
      </c>
      <c r="F37" s="16">
        <v>46334</v>
      </c>
      <c r="G37" s="14">
        <f>MIN(E38+G38)-F37-1</f>
        <v>0</v>
      </c>
      <c r="H37" s="14" t="str">
        <f t="shared" si="3"/>
        <v>Sí</v>
      </c>
      <c r="I37" s="17" t="s">
        <v>83</v>
      </c>
      <c r="J37" s="18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 x14ac:dyDescent="0.25">
      <c r="A38" s="14" t="s">
        <v>100</v>
      </c>
      <c r="B38" s="15" t="s">
        <v>101</v>
      </c>
      <c r="C38" s="14" t="s">
        <v>102</v>
      </c>
      <c r="D38" s="14">
        <f t="shared" si="0"/>
        <v>7</v>
      </c>
      <c r="E38" s="16">
        <v>46335</v>
      </c>
      <c r="F38" s="16">
        <v>46341</v>
      </c>
      <c r="G38" s="14">
        <f>MIN(E39+G39)-F38-1</f>
        <v>0</v>
      </c>
      <c r="H38" s="14" t="str">
        <f t="shared" si="3"/>
        <v>Sí</v>
      </c>
      <c r="I38" s="17" t="s">
        <v>83</v>
      </c>
      <c r="J38" s="18">
        <v>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 x14ac:dyDescent="0.25">
      <c r="A39" s="14" t="s">
        <v>103</v>
      </c>
      <c r="B39" s="15" t="s">
        <v>104</v>
      </c>
      <c r="C39" s="14" t="s">
        <v>100</v>
      </c>
      <c r="D39" s="14">
        <f t="shared" si="0"/>
        <v>7</v>
      </c>
      <c r="E39" s="16">
        <v>46342</v>
      </c>
      <c r="F39" s="16">
        <v>46348</v>
      </c>
      <c r="G39" s="14">
        <f>$I$3-F39</f>
        <v>0</v>
      </c>
      <c r="H39" s="14" t="str">
        <f t="shared" si="3"/>
        <v>Sí</v>
      </c>
      <c r="I39" s="17" t="s">
        <v>83</v>
      </c>
      <c r="J39" s="18">
        <v>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1" spans="1:26" x14ac:dyDescent="0.25">
      <c r="A41" s="19" t="s">
        <v>105</v>
      </c>
    </row>
    <row r="42" spans="1:26" x14ac:dyDescent="0.25">
      <c r="A42" s="20"/>
      <c r="B42" s="21" t="s">
        <v>106</v>
      </c>
    </row>
    <row r="43" spans="1:26" x14ac:dyDescent="0.25">
      <c r="A43" s="22"/>
      <c r="B43" s="21" t="s">
        <v>107</v>
      </c>
    </row>
    <row r="44" spans="1:26" x14ac:dyDescent="0.25">
      <c r="A44" s="23"/>
      <c r="B44" s="21" t="s">
        <v>108</v>
      </c>
    </row>
    <row r="45" spans="1:26" x14ac:dyDescent="0.25">
      <c r="A45" s="24"/>
      <c r="B45" s="21" t="s">
        <v>109</v>
      </c>
    </row>
    <row r="46" spans="1:26" x14ac:dyDescent="0.25">
      <c r="A46" s="25"/>
      <c r="B46" s="21" t="s">
        <v>110</v>
      </c>
    </row>
    <row r="48" spans="1:26" ht="26.1" customHeight="1" x14ac:dyDescent="0.25">
      <c r="A48" s="28" t="s">
        <v>111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6.1" customHeight="1" x14ac:dyDescent="0.25">
      <c r="A49" s="28" t="s">
        <v>112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6.1" customHeight="1" x14ac:dyDescent="0.25">
      <c r="A50" s="28" t="s">
        <v>113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6.1" customHeight="1" x14ac:dyDescent="0.25">
      <c r="A51" s="28" t="s">
        <v>114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</sheetData>
  <mergeCells count="14">
    <mergeCell ref="A51:Z51"/>
    <mergeCell ref="A50:Z50"/>
    <mergeCell ref="C5:C6"/>
    <mergeCell ref="A48:Z48"/>
    <mergeCell ref="F5:F6"/>
    <mergeCell ref="B5:B6"/>
    <mergeCell ref="I5:I6"/>
    <mergeCell ref="A49:Z49"/>
    <mergeCell ref="D5:D6"/>
    <mergeCell ref="A5:A6"/>
    <mergeCell ref="G5:G6"/>
    <mergeCell ref="E5:E6"/>
    <mergeCell ref="H5:H6"/>
    <mergeCell ref="J5:J6"/>
  </mergeCells>
  <conditionalFormatting sqref="K7:Z39">
    <cfRule type="expression" dxfId="6" priority="1" stopIfTrue="1">
      <formula>AND(ISERROR(FIND(".",$A7)),AND($E7&lt;=K$6+6,$F7&gt;=K$6))</formula>
    </cfRule>
    <cfRule type="expression" dxfId="5" priority="2" stopIfTrue="1">
      <formula>AND($H7="Sí",AND($E7&lt;=K$6+6,$F7&gt;=K$6))</formula>
    </cfRule>
    <cfRule type="expression" dxfId="4" priority="3" stopIfTrue="1">
      <formula>AND($I7="Pendiente",AND($E7&lt;=K$6+6,$F7&gt;=K$6))</formula>
    </cfRule>
    <cfRule type="expression" dxfId="3" priority="4" stopIfTrue="1">
      <formula>AND($E7&lt;=K$6+6,$F7&gt;=K$6)</formula>
    </cfRule>
    <cfRule type="expression" dxfId="2" priority="5">
      <formula>AND(TODAY()&gt;=K$6,TODAY()&lt;=K$6+6)</formula>
    </cfRule>
  </conditionalFormatting>
  <conditionalFormatting sqref="K5:Z6">
    <cfRule type="expression" dxfId="1" priority="6">
      <formula>AND(TODAY()&gt;=K$6,TODAY()&lt;=K$6+6)</formula>
    </cfRule>
  </conditionalFormatting>
  <conditionalFormatting sqref="H7:H39">
    <cfRule type="expression" dxfId="0" priority="7">
      <formula>$H7="Sí"</formula>
    </cfRule>
  </conditionalFormatting>
  <dataValidations count="1">
    <dataValidation type="list" allowBlank="1" sqref="I7:I39" xr:uid="{00000000-0002-0000-0000-000000000000}">
      <formula1>"Hecho,En curso,Pendiente"</formula1>
    </dataValidation>
  </dataValidations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2026-10-14T15:14:38Z</dcterms:created>
  <dcterms:modified xsi:type="dcterms:W3CDTF">2026-10-14T15:14:42Z</dcterms:modified>
</cp:coreProperties>
</file>